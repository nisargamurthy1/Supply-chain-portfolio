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nisarga/Downloads/"/>
    </mc:Choice>
  </mc:AlternateContent>
  <xr:revisionPtr revIDLastSave="0" documentId="13_ncr:1_{9F4B729E-D925-9B46-BE44-A88647AE1365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Inventory_Execution_Tracker" sheetId="1" r:id="rId1"/>
    <sheet name="Instructions" sheetId="2" r:id="rId2"/>
    <sheet name="Lists" sheetId="3" r:id="rId3"/>
  </sheets>
  <definedNames>
    <definedName name="_xlnm._FilterDatabase" localSheetId="0" hidden="1">Inventory_Execution_Tracker!$A$1:$Q$4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 s="1"/>
  <c r="K2" i="1"/>
  <c r="L2" i="1" s="1"/>
  <c r="K3" i="1"/>
  <c r="L3" i="1" s="1"/>
  <c r="N3" i="1" s="1"/>
</calcChain>
</file>

<file path=xl/sharedStrings.xml><?xml version="1.0" encoding="utf-8"?>
<sst xmlns="http://schemas.openxmlformats.org/spreadsheetml/2006/main" count="52" uniqueCount="47">
  <si>
    <t>Part Number</t>
  </si>
  <si>
    <t>Part Description</t>
  </si>
  <si>
    <t>Revision</t>
  </si>
  <si>
    <t>Supplier</t>
  </si>
  <si>
    <t>Program / Build</t>
  </si>
  <si>
    <t>Required Qty</t>
  </si>
  <si>
    <t>Need Date</t>
  </si>
  <si>
    <t>On-Hand Qty</t>
  </si>
  <si>
    <t>In-Transit Qty</t>
  </si>
  <si>
    <t>Open PO Qty</t>
  </si>
  <si>
    <t>Total Available</t>
  </si>
  <si>
    <t>Shortage / Excess</t>
  </si>
  <si>
    <t>Lead Time (weeks)</t>
  </si>
  <si>
    <t>Risk Level</t>
  </si>
  <si>
    <t>Owner</t>
  </si>
  <si>
    <t>Last Supplier Update</t>
  </si>
  <si>
    <t>Notes / Next Action</t>
  </si>
  <si>
    <t>MTR-48V-001</t>
  </si>
  <si>
    <t>48V BLDC Motor - Actuation</t>
  </si>
  <si>
    <t>A</t>
  </si>
  <si>
    <t>Supplier A</t>
  </si>
  <si>
    <t>Proto Build P1</t>
  </si>
  <si>
    <t>Nisarga</t>
  </si>
  <si>
    <t>Confirm ship date; check partial shipment</t>
  </si>
  <si>
    <t>HNS-ASSY-010</t>
  </si>
  <si>
    <t>Wiring Harness Assembly</t>
  </si>
  <si>
    <t>B</t>
  </si>
  <si>
    <t>Supplier B</t>
  </si>
  <si>
    <t>Pilot Build P2</t>
  </si>
  <si>
    <t>Await PO ack; verify connector rev</t>
  </si>
  <si>
    <t>PCB-FC-020</t>
  </si>
  <si>
    <t>Control Board (Flight/Control)</t>
  </si>
  <si>
    <t>C</t>
  </si>
  <si>
    <t>Supplier C</t>
  </si>
  <si>
    <t>Risk review with supplier; confirm capacity</t>
  </si>
  <si>
    <t>How to use this tracker (quick):</t>
  </si>
  <si>
    <t>1) Fill in Part Number, Description, Supplier, Program/Build, Required Qty, Need Date, and Lead Time.</t>
  </si>
  <si>
    <t>2) Update On-Hand, In-Transit, and Open PO Qty (pull from ERP/SAP exports if available).</t>
  </si>
  <si>
    <t>3) Total Available, Shortage/Excess, and Risk Level auto-calculate.</t>
  </si>
  <si>
    <t>4) Review RED/YELLOW items daily/weekly; capture next actions and last supplier update.</t>
  </si>
  <si>
    <t>Notes:</t>
  </si>
  <si>
    <t>- ERP/SAP remains the system of record. This tracker is for execution visibility (risk + next actions).</t>
  </si>
  <si>
    <t>- You can override Risk Level via dropdown if needed (e.g., known quality risk).</t>
  </si>
  <si>
    <t>Risk Levels</t>
  </si>
  <si>
    <t>GREEN</t>
  </si>
  <si>
    <t>YELLOW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</si>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</sst>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6">
    <dxf>
      <fill>
        <patternFill patternType="solid">
          <fgColor rgb="FFFF0000"/>
          <bgColor rgb="FFFFEB9C"/>
        </patternFill>
      </fill>
    </dxf>
    <dxf>
      <fill>
        <patternFill patternType="solid">
          <fgColor rgb="FFFF0000"/>
          <b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topLeftCell="I1" zoomScale="125" zoomScaleNormal="93" workbookViewId="0">
      <pane ySplit="1" topLeftCell="A2" activePane="bottomLeft" state="frozen"/>
      <selection pane="bottomLeft" activeCell="N7" sqref="N7"/>
    </sheetView>
  </sheetViews>
  <sheetFormatPr baseColWidth="10" defaultColWidth="8.83203125" defaultRowHeight="15" x14ac:dyDescent="0.2"/>
  <cols>
    <col min="1" max="1" width="20.5" customWidth="1"/>
    <col min="2" max="2" width="31.5" customWidth="1"/>
    <col min="3" max="3" width="14.1640625" customWidth="1"/>
    <col min="4" max="4" width="20.1640625" customWidth="1"/>
    <col min="5" max="5" width="22" customWidth="1"/>
    <col min="6" max="6" width="21.1640625" customWidth="1"/>
    <col min="7" max="7" width="17.1640625" customWidth="1"/>
    <col min="8" max="8" width="20.5" customWidth="1"/>
    <col min="9" max="9" width="19.6640625" customWidth="1"/>
    <col min="10" max="10" width="18.83203125" customWidth="1"/>
    <col min="11" max="11" width="20.1640625" customWidth="1"/>
    <col min="12" max="12" width="20.6640625" customWidth="1"/>
    <col min="13" max="13" width="19.1640625" customWidth="1"/>
    <col min="14" max="14" width="16.5" customWidth="1"/>
    <col min="15" max="15" width="14" customWidth="1"/>
    <col min="16" max="16" width="20.1640625" customWidth="1"/>
    <col min="17" max="17" width="36.33203125" customWidth="1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10</v>
      </c>
      <c r="G2" s="2">
        <v>46090</v>
      </c>
      <c r="H2">
        <v>3</v>
      </c>
      <c r="I2">
        <v>2</v>
      </c>
      <c r="J2">
        <v>5</v>
      </c>
      <c r="K2">
        <f>H2+I2+J2</f>
        <v>10</v>
      </c>
      <c r="L2">
        <f>K2-F2</f>
        <v>0</v>
      </c>
      <c r="M2">
        <v>6</v>
      </c>
      <c r="N2" s="7" t="s">
        <v>46</v>
      </c>
      <c r="O2" t="s">
        <v>22</v>
      </c>
      <c r="P2" s="2">
        <v>46059</v>
      </c>
      <c r="Q2" t="s">
        <v>29</v>
      </c>
    </row>
    <row r="3" spans="1:17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4</v>
      </c>
      <c r="G3" s="2">
        <v>46105</v>
      </c>
      <c r="H3">
        <v>1</v>
      </c>
      <c r="I3">
        <v>1</v>
      </c>
      <c r="J3">
        <v>2</v>
      </c>
      <c r="K3">
        <f>H3+I3+J3</f>
        <v>4</v>
      </c>
      <c r="L3">
        <f>K3-F3</f>
        <v>0</v>
      </c>
      <c r="M3">
        <v>12</v>
      </c>
      <c r="N3" s="6" t="str">
        <f ca="1">IF(OR(G3="",M3=""),"",IF(L3&lt;0,"RED",IF(G3-TODAY()&lt;M3*7,"YELLOW","GREEN")))</f>
        <v>YELLOW</v>
      </c>
      <c r="O3" t="s">
        <v>22</v>
      </c>
      <c r="P3" s="2">
        <v>46058</v>
      </c>
      <c r="Q3" t="s">
        <v>23</v>
      </c>
    </row>
    <row r="4" spans="1:17" x14ac:dyDescent="0.2">
      <c r="A4" t="s">
        <v>30</v>
      </c>
      <c r="B4" t="s">
        <v>31</v>
      </c>
      <c r="C4" t="s">
        <v>32</v>
      </c>
      <c r="D4" t="s">
        <v>33</v>
      </c>
      <c r="E4" t="s">
        <v>21</v>
      </c>
      <c r="F4">
        <v>2</v>
      </c>
      <c r="G4" s="2">
        <v>46120</v>
      </c>
      <c r="H4">
        <v>0</v>
      </c>
      <c r="I4">
        <v>0</v>
      </c>
      <c r="J4">
        <v>2</v>
      </c>
      <c r="K4">
        <f>H4+I4+J4</f>
        <v>2</v>
      </c>
      <c r="L4">
        <f>K4-F4</f>
        <v>0</v>
      </c>
      <c r="M4">
        <v>14</v>
      </c>
      <c r="N4" s="8" t="s">
        <v>44</v>
      </c>
      <c r="O4" t="s">
        <v>22</v>
      </c>
      <c r="P4" s="2">
        <v>46055</v>
      </c>
      <c r="Q4" t="s">
        <v>34</v>
      </c>
    </row>
  </sheetData>
  <autoFilter ref="A1:Q4" xr:uid="{00000000-0009-0000-0000-000000000000}">
    <sortState xmlns:xlrd2="http://schemas.microsoft.com/office/spreadsheetml/2017/richdata2" ref="A2:Q4">
      <sortCondition sortBy="cellColor" ref="N1:N4" dxfId="1"/>
    </sortState>
  </autoFilter>
  <conditionalFormatting sqref="L2:L500">
    <cfRule type="expression" dxfId="5" priority="4">
      <formula>L2&lt;0</formula>
    </cfRule>
  </conditionalFormatting>
  <conditionalFormatting sqref="N2:N500">
    <cfRule type="expression" dxfId="4" priority="1">
      <formula>N2="GREEN"</formula>
    </cfRule>
    <cfRule type="expression" dxfId="3" priority="2">
      <formula>N2="YELLOW"</formula>
    </cfRule>
    <cfRule type="expression" dxfId="2" priority="3">
      <formula>N2="RED"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Lists!$A$2:$A$4</xm:f>
          </x14:formula1>
          <xm:sqref>N2:N500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22" customHeight="1" x14ac:dyDescent="0.2">
      <c r="A1" s="3" t="s">
        <v>35</v>
      </c>
    </row>
    <row r="2" spans="1:1" ht="16" x14ac:dyDescent="0.2">
      <c r="A2" s="4" t="s">
        <v>36</v>
      </c>
    </row>
    <row r="3" spans="1:1" ht="16" x14ac:dyDescent="0.2">
      <c r="A3" s="4" t="s">
        <v>37</v>
      </c>
    </row>
    <row r="4" spans="1:1" ht="16" x14ac:dyDescent="0.2">
      <c r="A4" s="4" t="s">
        <v>38</v>
      </c>
    </row>
    <row r="5" spans="1:1" ht="16" x14ac:dyDescent="0.2">
      <c r="A5" s="4" t="s">
        <v>39</v>
      </c>
    </row>
    <row r="6" spans="1:1" x14ac:dyDescent="0.2">
      <c r="A6" s="4"/>
    </row>
    <row r="7" spans="1:1" ht="16" x14ac:dyDescent="0.2">
      <c r="A7" s="4" t="s">
        <v>40</v>
      </c>
    </row>
    <row r="8" spans="1:1" ht="16" x14ac:dyDescent="0.2">
      <c r="A8" s="4" t="s">
        <v>41</v>
      </c>
    </row>
    <row r="9" spans="1:1" ht="16" x14ac:dyDescent="0.2">
      <c r="A9" s="4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7.6640625" customWidth="1"/>
  </cols>
  <sheetData>
    <row r="1" spans="1:1" x14ac:dyDescent="0.2">
      <c r="A1" s="5" t="s">
        <v>43</v>
      </c>
    </row>
    <row r="2" spans="1:1" x14ac:dyDescent="0.2">
      <c r="A2" s="5" t="s">
        <v>44</v>
      </c>
    </row>
    <row r="3" spans="1:1" x14ac:dyDescent="0.2">
      <c r="A3" s="5" t="s">
        <v>45</v>
      </c>
    </row>
    <row r="4" spans="1:1" x14ac:dyDescent="0.2">
      <c r="A4" s="5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Inventory_Execution_Tracker</vt:lpstr>
      <vt:lpstr>Instructions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Nisarga Narasimhamurthy</cp:lastModifiedBy>
  <dcterms:created xsi:type="dcterms:W3CDTF">2026-02-07T22:18:29Z</dcterms:created>
  <dcterms:modified xsi:type="dcterms:W3CDTF">2026-02-07T22:50:41Z</dcterms:modified>
</cp:coreProperties>
</file>